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highbartechnocrat-my.sharepoint.com/personal/bharat_nagda_highbartech_com/Documents/Desktop/Alembic 25062025/Project Phase/Customer Receipt/"/>
    </mc:Choice>
  </mc:AlternateContent>
  <xr:revisionPtr revIDLastSave="470" documentId="8_{E84324C7-B838-4E06-9438-DD35196B4419}" xr6:coauthVersionLast="47" xr6:coauthVersionMax="47" xr10:uidLastSave="{5E8F4450-7100-4F5A-8240-BD5B6309F6FB}"/>
  <bookViews>
    <workbookView xWindow="-110" yWindow="-110" windowWidth="19420" windowHeight="10300" activeTab="2" xr2:uid="{51174911-2960-436B-B4C0-592869782D25}"/>
  </bookViews>
  <sheets>
    <sheet name="Calculation" sheetId="1" r:id="rId1"/>
    <sheet name="Points 30.01.2026" sheetId="2" r:id="rId2"/>
    <sheet name="Point 04.02.2026" sheetId="3"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J13" i="1"/>
  <c r="J12" i="1"/>
  <c r="N13" i="1"/>
  <c r="N12" i="1"/>
  <c r="N11" i="1"/>
  <c r="N9" i="1"/>
  <c r="N8" i="1"/>
  <c r="O7" i="1"/>
  <c r="O8" i="1" s="1"/>
  <c r="O9" i="1" s="1"/>
  <c r="O11" i="1" s="1"/>
  <c r="O12" i="1" s="1"/>
  <c r="O13" i="1" s="1"/>
  <c r="O15" i="1" s="1"/>
  <c r="N7" i="1"/>
  <c r="H9" i="1"/>
  <c r="I9" i="1" s="1"/>
  <c r="H8" i="1"/>
  <c r="I8" i="1" s="1"/>
  <c r="H7" i="1"/>
  <c r="I7" i="1" s="1"/>
  <c r="J7" i="1" s="1"/>
  <c r="D13" i="1"/>
  <c r="E13" i="1" s="1"/>
  <c r="D12" i="1"/>
  <c r="D11" i="1"/>
  <c r="D9" i="1"/>
  <c r="D8" i="1"/>
  <c r="D7" i="1"/>
  <c r="E7" i="1"/>
  <c r="E8" i="1" s="1"/>
  <c r="E9" i="1" s="1"/>
  <c r="E11" i="1" s="1"/>
  <c r="E12" i="1" s="1"/>
  <c r="J8" i="1" l="1"/>
  <c r="J9" i="1" s="1"/>
  <c r="I11" i="1" s="1"/>
  <c r="J11" i="1" l="1"/>
  <c r="J15" i="1" s="1"/>
</calcChain>
</file>

<file path=xl/sharedStrings.xml><?xml version="1.0" encoding="utf-8"?>
<sst xmlns="http://schemas.openxmlformats.org/spreadsheetml/2006/main" count="136" uniqueCount="101">
  <si>
    <t>Z0001</t>
  </si>
  <si>
    <t>Z0005</t>
  </si>
  <si>
    <t>Collection Amount</t>
  </si>
  <si>
    <t>ZBSP</t>
  </si>
  <si>
    <t>JOCG</t>
  </si>
  <si>
    <t>JOSG</t>
  </si>
  <si>
    <t>Mode of Payment</t>
  </si>
  <si>
    <t>Cheque</t>
  </si>
  <si>
    <t>Milestone Code</t>
  </si>
  <si>
    <t>No Dues</t>
  </si>
  <si>
    <t>Outstanding Amount</t>
  </si>
  <si>
    <t>Excess Amount</t>
  </si>
  <si>
    <r>
      <t xml:space="preserve">If an excess amount Less than equal to </t>
    </r>
    <r>
      <rPr>
        <b/>
        <sz val="11"/>
        <color theme="1"/>
        <rFont val="Aptos Narrow"/>
        <family val="2"/>
        <scheme val="minor"/>
      </rPr>
      <t>₹1,000</t>
    </r>
    <r>
      <rPr>
        <sz val="11"/>
        <color theme="1"/>
        <rFont val="Aptos Narrow"/>
        <family val="2"/>
        <scheme val="minor"/>
      </rPr>
      <t xml:space="preserve"> is received, the system will create a </t>
    </r>
    <r>
      <rPr>
        <b/>
        <sz val="11"/>
        <color theme="1"/>
        <rFont val="Aptos Narrow"/>
        <family val="2"/>
        <scheme val="minor"/>
      </rPr>
      <t>Credit Note of a fixed value without GST bifurcation</t>
    </r>
    <r>
      <rPr>
        <sz val="11"/>
        <color theme="1"/>
        <rFont val="Aptos Narrow"/>
        <family val="2"/>
        <scheme val="minor"/>
      </rPr>
      <t>.</t>
    </r>
  </si>
  <si>
    <r>
      <t xml:space="preserve">The collected amount will be adjusted against billing documents based on </t>
    </r>
    <r>
      <rPr>
        <b/>
        <sz val="11"/>
        <color theme="1"/>
        <rFont val="Aptos Narrow"/>
        <family val="2"/>
        <scheme val="minor"/>
      </rPr>
      <t>FIFO (First In, First Out)</t>
    </r>
    <r>
      <rPr>
        <sz val="11"/>
        <color theme="1"/>
        <rFont val="Aptos Narrow"/>
        <family val="2"/>
        <scheme val="minor"/>
      </rPr>
      <t>.</t>
    </r>
  </si>
  <si>
    <r>
      <t xml:space="preserve">If the mode of payment is </t>
    </r>
    <r>
      <rPr>
        <b/>
        <sz val="11"/>
        <color theme="1"/>
        <rFont val="Aptos Narrow"/>
        <family val="2"/>
        <scheme val="minor"/>
      </rPr>
      <t>TDS</t>
    </r>
    <r>
      <rPr>
        <sz val="11"/>
        <color theme="1"/>
        <rFont val="Aptos Narrow"/>
        <family val="2"/>
        <scheme val="minor"/>
      </rPr>
      <t>, only the TDS amount will be adjusted accordingly; no other amounts will be adjusted under TDS.</t>
    </r>
  </si>
  <si>
    <r>
      <t xml:space="preserve">Credit Note amounts will be displayed separately on the </t>
    </r>
    <r>
      <rPr>
        <b/>
        <sz val="11"/>
        <color theme="1"/>
        <rFont val="Aptos Narrow"/>
        <family val="2"/>
        <scheme val="minor"/>
      </rPr>
      <t>Customer Receipt screen</t>
    </r>
    <r>
      <rPr>
        <sz val="11"/>
        <color theme="1"/>
        <rFont val="Aptos Narrow"/>
        <family val="2"/>
        <scheme val="minor"/>
      </rPr>
      <t xml:space="preserve">. If the mode of payment selected is </t>
    </r>
    <r>
      <rPr>
        <b/>
        <sz val="11"/>
        <color theme="1"/>
        <rFont val="Aptos Narrow"/>
        <family val="2"/>
        <scheme val="minor"/>
      </rPr>
      <t>Credit Note</t>
    </r>
    <r>
      <rPr>
        <sz val="11"/>
        <color theme="1"/>
        <rFont val="Aptos Narrow"/>
        <family val="2"/>
        <scheme val="minor"/>
      </rPr>
      <t>, only the credit amount will be posted against the invoice based on FIFO. Collection entries will be managed separately, and users must perform separate transactions based on the mode of payment.</t>
    </r>
  </si>
  <si>
    <r>
      <t>Auto-clearing functionality</t>
    </r>
    <r>
      <rPr>
        <sz val="11"/>
        <color theme="1"/>
        <rFont val="Aptos Narrow"/>
        <family val="2"/>
        <scheme val="minor"/>
      </rPr>
      <t xml:space="preserve"> of billing documents will not be applicable in the customer receipt program.</t>
    </r>
  </si>
  <si>
    <r>
      <t xml:space="preserve">Before parking the receipt, the system will display a warning message: </t>
    </r>
    <r>
      <rPr>
        <i/>
        <sz val="11"/>
        <color theme="1"/>
        <rFont val="Aptos Narrow"/>
        <family val="2"/>
        <scheme val="minor"/>
      </rPr>
      <t>“Do you want to park this entry with the collection amount?”</t>
    </r>
    <r>
      <rPr>
        <sz val="11"/>
        <color theme="1"/>
        <rFont val="Aptos Narrow"/>
        <family val="2"/>
        <scheme val="minor"/>
      </rPr>
      <t xml:space="preserve"> with </t>
    </r>
    <r>
      <rPr>
        <b/>
        <sz val="11"/>
        <color theme="1"/>
        <rFont val="Aptos Narrow"/>
        <family val="2"/>
        <scheme val="minor"/>
      </rPr>
      <t>Yes/No</t>
    </r>
    <r>
      <rPr>
        <sz val="11"/>
        <color theme="1"/>
        <rFont val="Aptos Narrow"/>
        <family val="2"/>
        <scheme val="minor"/>
      </rPr>
      <t xml:space="preserve"> options during document saving.</t>
    </r>
  </si>
  <si>
    <r>
      <t xml:space="preserve">The </t>
    </r>
    <r>
      <rPr>
        <b/>
        <sz val="11"/>
        <color theme="1"/>
        <rFont val="Aptos Narrow"/>
        <family val="2"/>
        <scheme val="minor"/>
      </rPr>
      <t>approval matrix</t>
    </r>
    <r>
      <rPr>
        <sz val="11"/>
        <color theme="1"/>
        <rFont val="Aptos Narrow"/>
        <family val="2"/>
        <scheme val="minor"/>
      </rPr>
      <t xml:space="preserve"> is not applicable to the customer receipt process.</t>
    </r>
  </si>
  <si>
    <r>
      <t xml:space="preserve">Any </t>
    </r>
    <r>
      <rPr>
        <b/>
        <sz val="11"/>
        <color theme="1"/>
        <rFont val="Aptos Narrow"/>
        <family val="2"/>
        <scheme val="minor"/>
      </rPr>
      <t>customer credit amount</t>
    </r>
    <r>
      <rPr>
        <sz val="11"/>
        <color theme="1"/>
        <rFont val="Aptos Narrow"/>
        <family val="2"/>
        <scheme val="minor"/>
      </rPr>
      <t>, if applicable, must be shown on the Receipt Post screen.</t>
    </r>
  </si>
  <si>
    <t>Sr. No.</t>
  </si>
  <si>
    <r>
      <t>All receipt creation scenarios—</t>
    </r>
    <r>
      <rPr>
        <b/>
        <sz val="11"/>
        <color theme="1"/>
        <rFont val="Aptos Narrow"/>
        <family val="2"/>
        <scheme val="minor"/>
      </rPr>
      <t>Full Amount, Partial Amount, and Excess Amount</t>
    </r>
    <r>
      <rPr>
        <sz val="11"/>
        <color theme="1"/>
        <rFont val="Aptos Narrow"/>
        <family val="2"/>
        <scheme val="minor"/>
      </rPr>
      <t>—have been documented in the attached. Excel file for your reference.</t>
    </r>
  </si>
  <si>
    <t>Option1 (Full Amount)</t>
  </si>
  <si>
    <t>Option2 (Partial Amount)</t>
  </si>
  <si>
    <t>Option 3 (Excess Amount)</t>
  </si>
  <si>
    <t>Unit Transfer process (Customer to Customer Credit Note Adjustment) can not be fall in Customer Receipt Program.</t>
  </si>
  <si>
    <r>
      <t xml:space="preserve">In case the excess amount exceeds </t>
    </r>
    <r>
      <rPr>
        <b/>
        <sz val="11"/>
        <color theme="1"/>
        <rFont val="Aptos Narrow"/>
        <family val="2"/>
        <scheme val="minor"/>
      </rPr>
      <t>₹1,000</t>
    </r>
    <r>
      <rPr>
        <sz val="11"/>
        <color theme="1"/>
        <rFont val="Aptos Narrow"/>
        <family val="2"/>
        <scheme val="minor"/>
      </rPr>
      <t xml:space="preserve">, System will give an error message "Create a </t>
    </r>
    <r>
      <rPr>
        <b/>
        <sz val="11"/>
        <color theme="1"/>
        <rFont val="Aptos Narrow"/>
        <family val="2"/>
        <scheme val="minor"/>
      </rPr>
      <t xml:space="preserve">new milestone of Value (Excess Amount)" </t>
    </r>
    <r>
      <rPr>
        <sz val="11"/>
        <color theme="1"/>
        <rFont val="Aptos Narrow"/>
        <family val="2"/>
        <scheme val="minor"/>
      </rPr>
      <t>and will be added in the billing plan of booking and invoiced manually. Only after this system will allow customer receipt creation.</t>
    </r>
  </si>
  <si>
    <r>
      <t xml:space="preserve">In case of </t>
    </r>
    <r>
      <rPr>
        <b/>
        <sz val="11"/>
        <color theme="1"/>
        <rFont val="Aptos Narrow"/>
        <family val="2"/>
        <scheme val="minor"/>
      </rPr>
      <t>Receipt rejection before posting</t>
    </r>
    <r>
      <rPr>
        <sz val="11"/>
        <color theme="1"/>
        <rFont val="Aptos Narrow"/>
        <family val="2"/>
        <scheme val="minor"/>
      </rPr>
      <t xml:space="preserve"> or </t>
    </r>
    <r>
      <rPr>
        <b/>
        <sz val="11"/>
        <color theme="1"/>
        <rFont val="Aptos Narrow"/>
        <family val="2"/>
        <scheme val="minor"/>
      </rPr>
      <t>Receipt reversal after posting</t>
    </r>
    <r>
      <rPr>
        <sz val="11"/>
        <color theme="1"/>
        <rFont val="Aptos Narrow"/>
        <family val="2"/>
        <scheme val="minor"/>
      </rPr>
      <t>, the system will revert the billing amount of the respective receipt on the customer receipt screen.</t>
    </r>
  </si>
  <si>
    <t>Basic and GST bifurcation not cover in Customer Receipt form printout, only collection amount will shown.</t>
  </si>
  <si>
    <r>
      <t xml:space="preserve">The </t>
    </r>
    <r>
      <rPr>
        <b/>
        <sz val="11"/>
        <color theme="1"/>
        <rFont val="Aptos Narrow"/>
        <family val="2"/>
        <scheme val="minor"/>
      </rPr>
      <t>Unit Number</t>
    </r>
    <r>
      <rPr>
        <sz val="11"/>
        <color theme="1"/>
        <rFont val="Aptos Narrow"/>
        <family val="2"/>
        <scheme val="minor"/>
      </rPr>
      <t xml:space="preserve"> will be maintained in the </t>
    </r>
    <r>
      <rPr>
        <b/>
        <sz val="11"/>
        <color theme="1"/>
        <rFont val="Aptos Narrow"/>
        <family val="2"/>
        <scheme val="minor"/>
      </rPr>
      <t>Search Term</t>
    </r>
    <r>
      <rPr>
        <sz val="11"/>
        <color theme="1"/>
        <rFont val="Aptos Narrow"/>
        <family val="2"/>
        <scheme val="minor"/>
      </rPr>
      <t xml:space="preserve"> during customer master creation (Business Partner) for ledger identification (search term length: </t>
    </r>
    <r>
      <rPr>
        <b/>
        <sz val="11"/>
        <color theme="1"/>
        <rFont val="Aptos Narrow"/>
        <family val="2"/>
        <scheme val="minor"/>
      </rPr>
      <t>10 characters</t>
    </r>
    <r>
      <rPr>
        <sz val="11"/>
        <color theme="1"/>
        <rFont val="Aptos Narrow"/>
        <family val="2"/>
        <scheme val="minor"/>
      </rPr>
      <t>).</t>
    </r>
  </si>
  <si>
    <r>
      <t xml:space="preserve">The </t>
    </r>
    <r>
      <rPr>
        <b/>
        <sz val="11"/>
        <color theme="1"/>
        <rFont val="Aptos Narrow"/>
        <family val="2"/>
        <scheme val="minor"/>
      </rPr>
      <t>one customer = one unit</t>
    </r>
    <r>
      <rPr>
        <sz val="11"/>
        <color theme="1"/>
        <rFont val="Aptos Narrow"/>
        <family val="2"/>
        <scheme val="minor"/>
      </rPr>
      <t xml:space="preserve"> process will be followed for the booking process. (If One customer book two units, user have to create two separate customer with same details), we will modify the PAN card validation company based, that multiple customer will be created on same PAN number.</t>
    </r>
  </si>
  <si>
    <t>Discussed Points</t>
  </si>
  <si>
    <r>
      <t xml:space="preserve">New milestone codes and descriptions will be maintained by the </t>
    </r>
    <r>
      <rPr>
        <b/>
        <sz val="11"/>
        <color theme="1"/>
        <rFont val="Aptos Narrow"/>
        <family val="2"/>
        <scheme val="minor"/>
      </rPr>
      <t>CRM/Finance team</t>
    </r>
    <r>
      <rPr>
        <sz val="11"/>
        <color theme="1"/>
        <rFont val="Aptos Narrow"/>
        <family val="2"/>
        <scheme val="minor"/>
      </rPr>
      <t>, and the remaining amount will be manually adjusted in upcoming milestones. (If upcoming Milestone value if 1,00,000/- and you are doing excess invoice of amount 40,000/- of basic Value, then user have to reduce the value of upcoming milestone from 1,00,000/- to 60,000/-.</t>
    </r>
  </si>
  <si>
    <r>
      <t xml:space="preserve">Credit Notes will be created against customer bookings using the account head </t>
    </r>
    <r>
      <rPr>
        <b/>
        <sz val="11"/>
        <color theme="1"/>
        <rFont val="Aptos Narrow"/>
        <family val="2"/>
        <scheme val="minor"/>
      </rPr>
      <t>“Excess Amount”</t>
    </r>
    <r>
      <rPr>
        <sz val="11"/>
        <color theme="1"/>
        <rFont val="Aptos Narrow"/>
        <family val="2"/>
        <scheme val="minor"/>
      </rPr>
      <t xml:space="preserve">, with the GL account mapped to </t>
    </r>
    <r>
      <rPr>
        <b/>
        <sz val="11"/>
        <color theme="1"/>
        <rFont val="Aptos Narrow"/>
        <family val="2"/>
        <scheme val="minor"/>
      </rPr>
      <t>ZBSP</t>
    </r>
    <r>
      <rPr>
        <sz val="11"/>
        <color theme="1"/>
        <rFont val="Aptos Narrow"/>
        <family val="2"/>
        <scheme val="minor"/>
      </rPr>
      <t xml:space="preserve">. </t>
    </r>
    <r>
      <rPr>
        <b/>
        <sz val="11"/>
        <color theme="1"/>
        <rFont val="Aptos Narrow"/>
        <family val="2"/>
        <scheme val="minor"/>
      </rPr>
      <t>(Credit Note not release for accounting)</t>
    </r>
  </si>
  <si>
    <r>
      <t xml:space="preserve">The </t>
    </r>
    <r>
      <rPr>
        <b/>
        <sz val="11"/>
        <color theme="1"/>
        <rFont val="Aptos Narrow"/>
        <family val="2"/>
        <scheme val="minor"/>
      </rPr>
      <t>one customer = one unit</t>
    </r>
    <r>
      <rPr>
        <sz val="11"/>
        <color theme="1"/>
        <rFont val="Aptos Narrow"/>
        <family val="2"/>
        <scheme val="minor"/>
      </rPr>
      <t xml:space="preserve"> process will be followed for the booking process. (If One customer book two units, user have to create two separate customer with same details), we will modify the PAN card validation company based, that multiple customer will be created on same PAN number. 
The Unit Number will be maintained in the Search Term during customer master creation (Business Partner) for ledger identification (search term length: 10 characters).</t>
    </r>
  </si>
  <si>
    <r>
      <t xml:space="preserve">If an excess amount Less than equal to </t>
    </r>
    <r>
      <rPr>
        <b/>
        <sz val="11"/>
        <color theme="1"/>
        <rFont val="Aptos Narrow"/>
        <family val="2"/>
        <scheme val="minor"/>
      </rPr>
      <t>₹1,000</t>
    </r>
    <r>
      <rPr>
        <sz val="11"/>
        <color theme="1"/>
        <rFont val="Aptos Narrow"/>
        <family val="2"/>
        <scheme val="minor"/>
      </rPr>
      <t xml:space="preserve"> is received, the system will create a </t>
    </r>
    <r>
      <rPr>
        <b/>
        <sz val="11"/>
        <color theme="1"/>
        <rFont val="Aptos Narrow"/>
        <family val="2"/>
        <scheme val="minor"/>
      </rPr>
      <t>Credit Note of a fixed value without GST bifurcation</t>
    </r>
    <r>
      <rPr>
        <sz val="11"/>
        <color theme="1"/>
        <rFont val="Aptos Narrow"/>
        <family val="2"/>
        <scheme val="minor"/>
      </rPr>
      <t>. 
In case the excess amount exceeds ₹1,000, System will give an error message "Create a new milestone of Value (Excess Amount)" and will be added in the billing plan of booking and invoiced manually. Only after this system will allow customer receipt creation.</t>
    </r>
  </si>
  <si>
    <r>
      <t xml:space="preserve">If the mode of payment is </t>
    </r>
    <r>
      <rPr>
        <b/>
        <sz val="11"/>
        <color theme="1"/>
        <rFont val="Aptos Narrow"/>
        <family val="2"/>
        <scheme val="minor"/>
      </rPr>
      <t>TDS</t>
    </r>
    <r>
      <rPr>
        <sz val="11"/>
        <color theme="1"/>
        <rFont val="Aptos Narrow"/>
        <family val="2"/>
        <scheme val="minor"/>
      </rPr>
      <t>, only the TDS amount will be adjusted accordingly; no other amounts will be adjusted under TDS.
Credit Note amounts will be displayed separately on the Customer Receipt screen. If the mode of payment selected is Credit Note, only the credit amount will be posted against the invoice based on FIFO. Collection entries will be managed separately, and users must perform separate transactions based on the mode of payment.</t>
    </r>
  </si>
  <si>
    <r>
      <t xml:space="preserve">Before parking the receipt, the system will display a warning message: </t>
    </r>
    <r>
      <rPr>
        <i/>
        <sz val="11"/>
        <color theme="1"/>
        <rFont val="Aptos Narrow"/>
        <family val="2"/>
        <scheme val="minor"/>
      </rPr>
      <t xml:space="preserve">“Do you want to park Receipt of Rs. </t>
    </r>
    <r>
      <rPr>
        <b/>
        <i/>
        <sz val="11"/>
        <color theme="1"/>
        <rFont val="Aptos Narrow"/>
        <family val="2"/>
        <scheme val="minor"/>
      </rPr>
      <t>Collection Amount</t>
    </r>
    <r>
      <rPr>
        <i/>
        <sz val="11"/>
        <color theme="1"/>
        <rFont val="Aptos Narrow"/>
        <family val="2"/>
        <scheme val="minor"/>
      </rPr>
      <t>?”</t>
    </r>
    <r>
      <rPr>
        <sz val="11"/>
        <color theme="1"/>
        <rFont val="Aptos Narrow"/>
        <family val="2"/>
        <scheme val="minor"/>
      </rPr>
      <t xml:space="preserve"> with </t>
    </r>
    <r>
      <rPr>
        <b/>
        <sz val="11"/>
        <color theme="1"/>
        <rFont val="Aptos Narrow"/>
        <family val="2"/>
        <scheme val="minor"/>
      </rPr>
      <t>Yes/No</t>
    </r>
    <r>
      <rPr>
        <sz val="11"/>
        <color theme="1"/>
        <rFont val="Aptos Narrow"/>
        <family val="2"/>
        <scheme val="minor"/>
      </rPr>
      <t xml:space="preserve"> options during document saving.</t>
    </r>
  </si>
  <si>
    <t>Remarks - ARE Finance</t>
  </si>
  <si>
    <r>
      <t>The collected amount will be adjusted against billing documents based on </t>
    </r>
    <r>
      <rPr>
        <b/>
        <sz val="12"/>
        <color rgb="FF000000"/>
        <rFont val="Aptos"/>
        <family val="2"/>
      </rPr>
      <t>FIFO (First In, First Out)</t>
    </r>
    <r>
      <rPr>
        <sz val="12"/>
        <color rgb="FF000000"/>
        <rFont val="Aptos"/>
        <family val="2"/>
      </rPr>
      <t>.</t>
    </r>
  </si>
  <si>
    <t>Ok</t>
  </si>
  <si>
    <r>
      <t>The </t>
    </r>
    <r>
      <rPr>
        <b/>
        <sz val="12"/>
        <color rgb="FF000000"/>
        <rFont val="Aptos"/>
        <family val="2"/>
      </rPr>
      <t>one customer = one unit</t>
    </r>
    <r>
      <rPr>
        <sz val="12"/>
        <color rgb="FF000000"/>
        <rFont val="Aptos"/>
        <family val="2"/>
      </rPr>
      <t> process will be followed for the booking process. (If One customer book two units, user have to create two separate customer with same details), we will modify the PAN card validation company based, that multiple customer will be created on same PAN number.</t>
    </r>
  </si>
  <si>
    <t>We are ok with the process.</t>
  </si>
  <si>
    <t>The Unit Number will be maintained in the Search Term during customer master creation (Business Partner) for ledger identification (search term length: 10 characters).</t>
  </si>
  <si>
    <t>Will check the ledger naming and representation. The ledger naming should be such that identification of the same can be easily done.</t>
  </si>
  <si>
    <r>
      <t>If an excess amount Less than equal to </t>
    </r>
    <r>
      <rPr>
        <b/>
        <sz val="12"/>
        <color rgb="FF000000"/>
        <rFont val="Aptos"/>
        <family val="2"/>
      </rPr>
      <t>₹1,000</t>
    </r>
    <r>
      <rPr>
        <sz val="12"/>
        <color rgb="FF000000"/>
        <rFont val="Aptos"/>
        <family val="2"/>
      </rPr>
      <t> is received, the system will create a </t>
    </r>
    <r>
      <rPr>
        <b/>
        <sz val="12"/>
        <color rgb="FF000000"/>
        <rFont val="Aptos"/>
        <family val="2"/>
      </rPr>
      <t>Credit Note of a fixed value without GST bifurcation</t>
    </r>
    <r>
      <rPr>
        <sz val="12"/>
        <color rgb="FF000000"/>
        <rFont val="Aptos"/>
        <family val="2"/>
      </rPr>
      <t>.</t>
    </r>
  </si>
  <si>
    <t>This credit note will be adjusted in next invoice.</t>
  </si>
  <si>
    <t>In case the excess amount exceeds ₹1,000, System will give an error message "Create a new milestone of Value (Excess Amount)" and will be added in the billing plan of booking and invoiced manually. Only after this system will allow customer receipt creation.</t>
  </si>
  <si>
    <t>What if the excess amount of more than Rs. 1000 received in the last invoice.</t>
  </si>
  <si>
    <r>
      <t>If the mode of payment is </t>
    </r>
    <r>
      <rPr>
        <b/>
        <sz val="12"/>
        <color rgb="FF000000"/>
        <rFont val="Aptos"/>
        <family val="2"/>
      </rPr>
      <t>TDS</t>
    </r>
    <r>
      <rPr>
        <sz val="12"/>
        <color rgb="FF000000"/>
        <rFont val="Aptos"/>
        <family val="2"/>
      </rPr>
      <t>, only the TDS amount will be adjusted accordingly; no other amounts will be adjusted under TDS.</t>
    </r>
  </si>
  <si>
    <t>Credit Note amounts will be displayed separately on the Customer Receipt screen. If the mode of payment selected is Credit Note, only the credit amount will be posted against the invoice based on FIFO. Collection entries will be managed separately, and users must perform separate transactions based on the mode of payment.</t>
  </si>
  <si>
    <t>Whether cross credit notes (Cash / TDS) adjustment is allowed or not - To be confirmed by CRM team.</t>
  </si>
  <si>
    <r>
      <t>Auto-clearing functionality</t>
    </r>
    <r>
      <rPr>
        <sz val="12"/>
        <color rgb="FF000000"/>
        <rFont val="Aptos"/>
        <family val="2"/>
      </rPr>
      <t> of billing documents will not be applicable in the customer receipt program.</t>
    </r>
  </si>
  <si>
    <t>We understand that this will not impact any reports or workings of Finance Module / Sales Module. Kindly confirm that our understanding is correct.</t>
  </si>
  <si>
    <r>
      <t>Before parking the receipt, the system will display a warning message: </t>
    </r>
    <r>
      <rPr>
        <i/>
        <sz val="12"/>
        <color rgb="FF000000"/>
        <rFont val="Aptos"/>
        <family val="2"/>
      </rPr>
      <t>“Do you want to park Receipt of Rs. </t>
    </r>
    <r>
      <rPr>
        <b/>
        <i/>
        <sz val="12"/>
        <color rgb="FF000000"/>
        <rFont val="Aptos"/>
        <family val="2"/>
      </rPr>
      <t>Collection Amount</t>
    </r>
    <r>
      <rPr>
        <i/>
        <sz val="12"/>
        <color rgb="FF000000"/>
        <rFont val="Aptos"/>
        <family val="2"/>
      </rPr>
      <t>?”</t>
    </r>
    <r>
      <rPr>
        <sz val="12"/>
        <color rgb="FF000000"/>
        <rFont val="Aptos"/>
        <family val="2"/>
      </rPr>
      <t> with </t>
    </r>
    <r>
      <rPr>
        <b/>
        <sz val="12"/>
        <color rgb="FF000000"/>
        <rFont val="Aptos"/>
        <family val="2"/>
      </rPr>
      <t>Yes/No</t>
    </r>
    <r>
      <rPr>
        <sz val="12"/>
        <color rgb="FF000000"/>
        <rFont val="Aptos"/>
        <family val="2"/>
      </rPr>
      <t> options during document saving.</t>
    </r>
  </si>
  <si>
    <t>ok</t>
  </si>
  <si>
    <r>
      <t>In case of </t>
    </r>
    <r>
      <rPr>
        <b/>
        <sz val="12"/>
        <color rgb="FF000000"/>
        <rFont val="Aptos"/>
        <family val="2"/>
      </rPr>
      <t>Receipt rejection before posting</t>
    </r>
    <r>
      <rPr>
        <sz val="12"/>
        <color rgb="FF000000"/>
        <rFont val="Aptos"/>
        <family val="2"/>
      </rPr>
      <t> or </t>
    </r>
    <r>
      <rPr>
        <b/>
        <sz val="12"/>
        <color rgb="FF000000"/>
        <rFont val="Aptos"/>
        <family val="2"/>
      </rPr>
      <t>Receipt reversal after posting</t>
    </r>
    <r>
      <rPr>
        <sz val="12"/>
        <color rgb="FF000000"/>
        <rFont val="Aptos"/>
        <family val="2"/>
      </rPr>
      <t>, the system will revert the billing amount of the respective receipt on the customer receipt screen.</t>
    </r>
  </si>
  <si>
    <t>Kindly confirm that this process will not impact any reports / workings of Finance / Sales department.</t>
  </si>
  <si>
    <r>
      <t>The </t>
    </r>
    <r>
      <rPr>
        <b/>
        <sz val="12"/>
        <color rgb="FF000000"/>
        <rFont val="Aptos"/>
        <family val="2"/>
      </rPr>
      <t>approval matrix</t>
    </r>
    <r>
      <rPr>
        <sz val="12"/>
        <color rgb="FF000000"/>
        <rFont val="Aptos"/>
        <family val="2"/>
      </rPr>
      <t> is not applicable to the customer receipt process.</t>
    </r>
  </si>
  <si>
    <t>No comments from Finance Side</t>
  </si>
  <si>
    <r>
      <t>Any </t>
    </r>
    <r>
      <rPr>
        <b/>
        <sz val="12"/>
        <color rgb="FF000000"/>
        <rFont val="Aptos"/>
        <family val="2"/>
      </rPr>
      <t>customer credit amount</t>
    </r>
    <r>
      <rPr>
        <sz val="12"/>
        <color rgb="FF000000"/>
        <rFont val="Aptos"/>
        <family val="2"/>
      </rPr>
      <t>, if applicable, must be shown on the Receipt Post screen.</t>
    </r>
  </si>
  <si>
    <t>Kindly check:</t>
  </si>
  <si>
    <t>1) How the credit note given with reference to invoice to be shown in receipt screen.</t>
  </si>
  <si>
    <t>2) How excess amount credit note will be shown</t>
  </si>
  <si>
    <t>3) How Unit transfer credit notes will be shown</t>
  </si>
  <si>
    <r>
      <t>New milestone codes and descriptions will be maintained by the </t>
    </r>
    <r>
      <rPr>
        <b/>
        <sz val="12"/>
        <color rgb="FF000000"/>
        <rFont val="Aptos"/>
        <family val="2"/>
      </rPr>
      <t>CRM/Finance team</t>
    </r>
    <r>
      <rPr>
        <sz val="12"/>
        <color rgb="FF000000"/>
        <rFont val="Aptos"/>
        <family val="2"/>
      </rPr>
      <t>, and the remaining amount will be manually adjusted in upcoming milestones. (If upcoming Milestone value if 1,00,000/- and you are doing excess invoice of amount 40,000/- of basic Value, then user have to reduce the value of upcoming milestone from 1,00,000/- to 60,000/-.</t>
    </r>
  </si>
  <si>
    <t>External JVs will not be done. All the scenarios will be handled from receipt screen.</t>
  </si>
  <si>
    <r>
      <t>Credit Notes will be created against customer bookings using the account head </t>
    </r>
    <r>
      <rPr>
        <b/>
        <sz val="12"/>
        <color rgb="FF000000"/>
        <rFont val="Aptos"/>
        <family val="2"/>
      </rPr>
      <t>“Excess Amount”</t>
    </r>
    <r>
      <rPr>
        <sz val="12"/>
        <color rgb="FF000000"/>
        <rFont val="Aptos"/>
        <family val="2"/>
      </rPr>
      <t>, with the GL account mapped to </t>
    </r>
    <r>
      <rPr>
        <b/>
        <sz val="12"/>
        <color rgb="FF000000"/>
        <rFont val="Aptos"/>
        <family val="2"/>
      </rPr>
      <t>ZBSP</t>
    </r>
    <r>
      <rPr>
        <sz val="12"/>
        <color rgb="FF000000"/>
        <rFont val="Aptos"/>
        <family val="2"/>
      </rPr>
      <t>. </t>
    </r>
    <r>
      <rPr>
        <b/>
        <sz val="12"/>
        <color rgb="FF000000"/>
        <rFont val="Aptos"/>
        <family val="2"/>
      </rPr>
      <t>(Credit Note not release for accounting)</t>
    </r>
  </si>
  <si>
    <t>When we were discussing the receipt screen, the finance team had asked for the accounting of the same. The accounting entries shown at that point of time were not correct / logical. The finance team requested SD / FI consultant to sit together and decide on the accounting flow and present the same to finance team before moving ahead with the development. This is still pending.</t>
  </si>
  <si>
    <t>Noted</t>
  </si>
  <si>
    <t>No Impect in Finance Module/ Sales Module.</t>
  </si>
  <si>
    <t>Will Not impect any report.</t>
  </si>
  <si>
    <t>Point 6, is the alternate solution.</t>
  </si>
  <si>
    <t>There will be no JVs, user have to create Milestone and add to Billing plan of booking and do the billing.</t>
  </si>
  <si>
    <t>Customer to Customer sharing is only happened via F-30, which is shown already.</t>
  </si>
  <si>
    <t>Customer Receipt printout, only collection amount will reflected only (no Basic and GST Bifurcation)</t>
  </si>
  <si>
    <t>We will follow the Point 2 and Material wise ledger is not available in SAP-FI.</t>
  </si>
  <si>
    <t>1. Cheque</t>
  </si>
  <si>
    <t>2. Demand Draft</t>
  </si>
  <si>
    <t>3. Direct Remittance</t>
  </si>
  <si>
    <t>4. TDS</t>
  </si>
  <si>
    <t>5. Debit/Credit Card</t>
  </si>
  <si>
    <t>6. Cash</t>
  </si>
  <si>
    <t>7. Credit Note</t>
  </si>
  <si>
    <t>8. On Account</t>
  </si>
  <si>
    <t>9. Excess Tolerance</t>
  </si>
  <si>
    <t>10. Excess GST</t>
  </si>
  <si>
    <t>11. Journal Voucher</t>
  </si>
  <si>
    <t>We required Customer SOA and Customer Ledger T-Codes, under SD Module to enabled us to issue the same to the customer and us the same for reconciliation purpose as and when required.</t>
  </si>
  <si>
    <t>SOA is under development as per the given format.
Customer Ledger (FI) T-Code: FBL5N.</t>
  </si>
  <si>
    <t>Additionally, we as discussed initially for enabling bulk receipt creation through an Excel-based uploader please work on this requirement as well, so that the receipt creation process can be streamlined and automated.</t>
  </si>
  <si>
    <r>
      <t>I have reviewed the recommended Point No. 2 </t>
    </r>
    <r>
      <rPr>
        <sz val="12"/>
        <color rgb="FF242424"/>
        <rFont val="Calibri"/>
        <family val="2"/>
      </rPr>
      <t xml:space="preserve">in the below mentioned MOM and also conducted some additional research. </t>
    </r>
    <r>
      <rPr>
        <sz val="12"/>
        <color rgb="FF242424"/>
        <rFont val="Aptos"/>
        <family val="2"/>
      </rPr>
      <t>Accordingly, I am attaching the SAP‑standard, audit‑safe approach typically followed in real‑estate / unit‑based selling scenarios, along with the SAP Best Practice Summary – One Customer (PAN) – Multiple Units – No FI Ledger Mixing, with Single Business Partner (PAN-wise) and Unit-wise Accounting (SD–FI–PS).</t>
    </r>
  </si>
  <si>
    <r>
      <t>Collection Amount*: To be Renamed as </t>
    </r>
    <r>
      <rPr>
        <sz val="12"/>
        <rFont val="Calibri"/>
        <family val="2"/>
      </rPr>
      <t>“Receipt Amount*</t>
    </r>
    <r>
      <rPr>
        <sz val="12"/>
        <color rgb="FFEE0000"/>
        <rFont val="Calibri"/>
        <family val="2"/>
      </rPr>
      <t>”.
Payment Reference: To be Renamed as </t>
    </r>
    <r>
      <rPr>
        <sz val="12"/>
        <rFont val="Calibri"/>
        <family val="2"/>
      </rPr>
      <t>“Instrument Ref. No.*”</t>
    </r>
    <r>
      <rPr>
        <sz val="12"/>
        <color rgb="FFEE0000"/>
        <rFont val="Calibri"/>
        <family val="2"/>
      </rPr>
      <t xml:space="preserve">
Cheque Received Date: To be Renamed as </t>
    </r>
    <r>
      <rPr>
        <sz val="12"/>
        <rFont val="Calibri"/>
        <family val="2"/>
      </rPr>
      <t>“Instrument / Challan Date.*"</t>
    </r>
    <r>
      <rPr>
        <sz val="12"/>
        <color rgb="FFEE0000"/>
        <rFont val="Calibri"/>
        <family val="2"/>
      </rPr>
      <t xml:space="preserve">
Mode of Payment: To be arranged in the below listed order</t>
    </r>
  </si>
  <si>
    <t>No comments from Finance Side.</t>
  </si>
  <si>
    <t>One customer equal to one unit (One Booking) process to be followed and Unit Number should be maintain in Search Term.</t>
  </si>
  <si>
    <t xml:space="preserve">If excess amount received in Last Invoice, User have top create Receipt equal to the Last Invoice value and excess amount refunded to customer. </t>
  </si>
  <si>
    <t>Excess received against inovice or TDS, will be considered as excess and Credit Note will be create in SD. And this credit note can be adjust against upcoming invoice amount.</t>
  </si>
  <si>
    <t>Point 1 &amp; 3: Credit amount auto adjust in Invoice amount in Receiept screen. (Non-accounting Credit Note to be created &amp; credit note transfer through F-30 - This will be the part of Unit Cancellation Screen)
Point 2: User have to adjust based on Mode of Payment "Credit Note".</t>
  </si>
  <si>
    <t>Already Discussed and Requirement clear.</t>
  </si>
  <si>
    <t xml:space="preserve">Bulk Receipt creation not discussed and not possible through customer receipt creation program. </t>
  </si>
  <si>
    <t>HBT &amp; ARE Business (Jointly Discussed) Reply (05.02.2026)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</si>
</sst>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
      <b/>
      <sz val="12"/>
      <color rgb="FF000000"/>
      <name val="Aptos"/>
      <family val="2"/>
    </font>
    <font>
      <sz val="12"/>
      <color rgb="FF000000"/>
      <name val="Aptos"/>
      <family val="2"/>
    </font>
    <font>
      <sz val="11"/>
      <color rgb="FF000000"/>
      <name val="Aptos Narrow"/>
      <family val="2"/>
    </font>
    <font>
      <b/>
      <sz val="11"/>
      <color rgb="FF000000"/>
      <name val="Aptos Narrow"/>
      <family val="2"/>
    </font>
    <font>
      <i/>
      <sz val="12"/>
      <color rgb="FF000000"/>
      <name val="Aptos"/>
      <family val="2"/>
    </font>
    <font>
      <b/>
      <i/>
      <sz val="12"/>
      <color rgb="FF000000"/>
      <name val="Aptos"/>
      <family val="2"/>
    </font>
    <font>
      <b/>
      <sz val="11"/>
      <color rgb="FF000000"/>
      <name val="Calibri"/>
      <family val="2"/>
    </font>
    <font>
      <sz val="12"/>
      <color theme="1"/>
      <name val="Aptos"/>
      <family val="2"/>
    </font>
    <font>
      <b/>
      <sz val="12"/>
      <color theme="1"/>
      <name val="Aptos Narrow"/>
      <family val="2"/>
      <scheme val="minor"/>
    </font>
    <font>
      <sz val="12"/>
      <color rgb="FF242424"/>
      <name val="Calibri"/>
      <family val="2"/>
    </font>
    <font>
      <sz val="12"/>
      <color rgb="FF242424"/>
      <name val="Aptos"/>
      <family val="2"/>
    </font>
    <font>
      <sz val="12"/>
      <color rgb="FFEE0000"/>
      <name val="Calibri"/>
      <family val="2"/>
    </font>
    <font>
      <sz val="12"/>
      <name val="Calibri"/>
      <family val="2"/>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top style="medium">
        <color indexed="64"/>
      </top>
      <bottom/>
      <diagonal/>
    </border>
    <border>
      <left style="medium">
        <color indexed="64"/>
      </left>
      <right/>
      <top/>
      <bottom/>
      <diagonal/>
    </border>
  </borders>
  <cellStyleXfs count="2">
    <xf numFmtId="0" fontId="0" fillId="0" borderId="0"/>
    <xf numFmtId="43" fontId="1" fillId="0" borderId="0" applyFont="0" applyFill="0" applyBorder="0" applyAlignment="0" applyProtection="0"/>
  </cellStyleXfs>
  <cellXfs count="69">
    <xf numFmtId="0" fontId="0" fillId="0" borderId="0" xfId="0"/>
    <xf numFmtId="0" fontId="2" fillId="0" borderId="0" xfId="0" applyFont="1"/>
    <xf numFmtId="0" fontId="0" fillId="0" borderId="0" xfId="0" applyAlignment="1">
      <alignment wrapText="1"/>
    </xf>
    <xf numFmtId="0" fontId="0" fillId="0" borderId="1" xfId="0" applyBorder="1"/>
    <xf numFmtId="4" fontId="0" fillId="0" borderId="1" xfId="0" applyNumberFormat="1" applyBorder="1"/>
    <xf numFmtId="43" fontId="0" fillId="0" borderId="1" xfId="0" applyNumberFormat="1" applyBorder="1"/>
    <xf numFmtId="0" fontId="2" fillId="3" borderId="1" xfId="0" applyFont="1" applyFill="1" applyBorder="1"/>
    <xf numFmtId="43" fontId="2" fillId="3" borderId="1" xfId="1" applyFont="1" applyFill="1" applyBorder="1"/>
    <xf numFmtId="0" fontId="0" fillId="4" borderId="1" xfId="0" applyFill="1" applyBorder="1"/>
    <xf numFmtId="4" fontId="0" fillId="4" borderId="1" xfId="0" applyNumberFormat="1" applyFill="1" applyBorder="1"/>
    <xf numFmtId="43" fontId="0" fillId="4" borderId="1" xfId="0" applyNumberFormat="1" applyFill="1" applyBorder="1"/>
    <xf numFmtId="0" fontId="2" fillId="0" borderId="1" xfId="0" applyFont="1" applyBorder="1"/>
    <xf numFmtId="43" fontId="0" fillId="6" borderId="1" xfId="0" applyNumberFormat="1" applyFill="1" applyBorder="1"/>
    <xf numFmtId="43" fontId="2" fillId="6" borderId="1" xfId="0" applyNumberFormat="1" applyFont="1" applyFill="1" applyBorder="1"/>
    <xf numFmtId="43" fontId="2" fillId="7" borderId="1" xfId="0" applyNumberFormat="1" applyFont="1" applyFill="1" applyBorder="1"/>
    <xf numFmtId="4" fontId="2" fillId="5" borderId="1" xfId="0" applyNumberFormat="1" applyFont="1" applyFill="1"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vertical="center"/>
    </xf>
    <xf numFmtId="0" fontId="2" fillId="0" borderId="1" xfId="0" applyFont="1" applyBorder="1" applyAlignment="1">
      <alignment vertical="center" wrapText="1"/>
    </xf>
    <xf numFmtId="0" fontId="5" fillId="3" borderId="5" xfId="0" applyFont="1" applyFill="1" applyBorder="1" applyAlignment="1">
      <alignment vertical="center" wrapText="1"/>
    </xf>
    <xf numFmtId="0" fontId="5" fillId="3" borderId="6" xfId="0" applyFont="1" applyFill="1" applyBorder="1" applyAlignment="1">
      <alignment vertical="center" wrapText="1"/>
    </xf>
    <xf numFmtId="0" fontId="6" fillId="8" borderId="7" xfId="0" applyFont="1" applyFill="1" applyBorder="1" applyAlignment="1">
      <alignment horizontal="right" vertical="center" wrapText="1"/>
    </xf>
    <xf numFmtId="0" fontId="6" fillId="8" borderId="8" xfId="0" applyFont="1" applyFill="1" applyBorder="1" applyAlignment="1">
      <alignment vertical="center" wrapText="1"/>
    </xf>
    <xf numFmtId="0" fontId="5" fillId="8" borderId="8" xfId="0" applyFont="1" applyFill="1" applyBorder="1" applyAlignment="1">
      <alignment vertical="center" wrapText="1"/>
    </xf>
    <xf numFmtId="0" fontId="6" fillId="8" borderId="10" xfId="0" applyFont="1" applyFill="1" applyBorder="1" applyAlignment="1">
      <alignment horizontal="right" vertical="center" wrapText="1"/>
    </xf>
    <xf numFmtId="0" fontId="6" fillId="8" borderId="11" xfId="0" applyFont="1" applyFill="1" applyBorder="1" applyAlignment="1">
      <alignment vertical="center" wrapText="1"/>
    </xf>
    <xf numFmtId="0" fontId="5" fillId="8" borderId="11" xfId="0" applyFont="1" applyFill="1" applyBorder="1" applyAlignment="1">
      <alignment vertical="center" wrapText="1"/>
    </xf>
    <xf numFmtId="0" fontId="7" fillId="8" borderId="11" xfId="0" applyFont="1" applyFill="1" applyBorder="1" applyAlignment="1">
      <alignment vertical="center" wrapText="1"/>
    </xf>
    <xf numFmtId="0" fontId="8" fillId="8" borderId="11" xfId="0" applyFont="1" applyFill="1" applyBorder="1" applyAlignment="1">
      <alignment vertical="center" wrapText="1"/>
    </xf>
    <xf numFmtId="0" fontId="6" fillId="8" borderId="7" xfId="0" applyFont="1" applyFill="1" applyBorder="1" applyAlignment="1">
      <alignment vertical="center" wrapText="1"/>
    </xf>
    <xf numFmtId="0" fontId="11" fillId="8" borderId="10" xfId="0" applyFont="1" applyFill="1" applyBorder="1" applyAlignment="1">
      <alignment vertical="center" wrapText="1"/>
    </xf>
    <xf numFmtId="0" fontId="6" fillId="8" borderId="5" xfId="0" applyFont="1" applyFill="1" applyBorder="1" applyAlignment="1">
      <alignment horizontal="right" vertical="center" wrapText="1"/>
    </xf>
    <xf numFmtId="0" fontId="6" fillId="8" borderId="5" xfId="0" applyFont="1" applyFill="1" applyBorder="1" applyAlignment="1">
      <alignment vertical="center" wrapText="1"/>
    </xf>
    <xf numFmtId="0" fontId="16" fillId="0" borderId="12" xfId="0" applyFont="1" applyBorder="1" applyAlignment="1">
      <alignment vertical="center" wrapText="1"/>
    </xf>
    <xf numFmtId="0" fontId="5" fillId="8" borderId="5" xfId="0" applyFont="1" applyFill="1" applyBorder="1" applyAlignment="1">
      <alignment vertical="center" wrapText="1"/>
    </xf>
    <xf numFmtId="0" fontId="12" fillId="0" borderId="14" xfId="0" applyFont="1" applyBorder="1" applyAlignment="1">
      <alignment horizontal="right" vertical="center"/>
    </xf>
    <xf numFmtId="0" fontId="12" fillId="0" borderId="15" xfId="0" applyFont="1" applyBorder="1" applyAlignment="1">
      <alignment horizontal="right" vertical="center"/>
    </xf>
    <xf numFmtId="0" fontId="0" fillId="0" borderId="12" xfId="0" applyBorder="1" applyAlignment="1">
      <alignment horizontal="center"/>
    </xf>
    <xf numFmtId="0" fontId="0" fillId="0" borderId="10" xfId="0" applyBorder="1" applyAlignment="1">
      <alignment horizontal="center"/>
    </xf>
    <xf numFmtId="0" fontId="13" fillId="0" borderId="12" xfId="0" applyFont="1" applyBorder="1" applyAlignment="1">
      <alignment horizontal="center" vertical="center"/>
    </xf>
    <xf numFmtId="0" fontId="13" fillId="0" borderId="10" xfId="0" applyFont="1" applyBorder="1" applyAlignment="1">
      <alignment horizontal="center" vertical="center"/>
    </xf>
    <xf numFmtId="0" fontId="6" fillId="8" borderId="12" xfId="0" applyFont="1" applyFill="1" applyBorder="1" applyAlignment="1">
      <alignment horizontal="right" vertical="center" wrapText="1"/>
    </xf>
    <xf numFmtId="0" fontId="6" fillId="8" borderId="10" xfId="0" applyFont="1" applyFill="1" applyBorder="1" applyAlignment="1">
      <alignment horizontal="right" vertical="center" wrapText="1"/>
    </xf>
    <xf numFmtId="0" fontId="6" fillId="8" borderId="9" xfId="0" applyFont="1" applyFill="1" applyBorder="1" applyAlignment="1">
      <alignment horizontal="right" vertical="center" wrapText="1"/>
    </xf>
    <xf numFmtId="0" fontId="6" fillId="8" borderId="13" xfId="0" applyFont="1" applyFill="1" applyBorder="1" applyAlignment="1">
      <alignment horizontal="right" vertical="center" wrapText="1"/>
    </xf>
    <xf numFmtId="0" fontId="6" fillId="8" borderId="7" xfId="0" applyFont="1" applyFill="1" applyBorder="1" applyAlignment="1">
      <alignment horizontal="right" vertical="center" wrapText="1"/>
    </xf>
    <xf numFmtId="0" fontId="6" fillId="8" borderId="12" xfId="0" applyFont="1" applyFill="1" applyBorder="1" applyAlignment="1">
      <alignment vertical="center" wrapText="1"/>
    </xf>
    <xf numFmtId="0" fontId="6" fillId="8" borderId="10" xfId="0" applyFont="1" applyFill="1" applyBorder="1" applyAlignment="1">
      <alignment vertical="center" wrapText="1"/>
    </xf>
    <xf numFmtId="0" fontId="6" fillId="8" borderId="7" xfId="0" applyFont="1" applyFill="1" applyBorder="1" applyAlignment="1">
      <alignment vertical="center" wrapText="1"/>
    </xf>
    <xf numFmtId="0" fontId="5" fillId="8" borderId="12" xfId="0" applyFont="1" applyFill="1" applyBorder="1" applyAlignment="1">
      <alignment horizontal="left" vertical="center" wrapText="1"/>
    </xf>
    <xf numFmtId="0" fontId="5" fillId="8" borderId="10" xfId="0" applyFont="1" applyFill="1" applyBorder="1" applyAlignment="1">
      <alignment horizontal="left" vertical="center" wrapText="1"/>
    </xf>
    <xf numFmtId="0" fontId="5" fillId="8" borderId="7" xfId="0" applyFont="1" applyFill="1" applyBorder="1" applyAlignment="1">
      <alignment horizontal="left" vertical="center" wrapText="1"/>
    </xf>
    <xf numFmtId="0" fontId="5" fillId="8" borderId="12" xfId="0" applyFont="1" applyFill="1" applyBorder="1" applyAlignment="1">
      <alignment horizontal="left" vertical="top" wrapText="1"/>
    </xf>
    <xf numFmtId="0" fontId="5" fillId="8" borderId="10" xfId="0" applyFont="1" applyFill="1" applyBorder="1" applyAlignment="1">
      <alignment horizontal="left" vertical="top" wrapText="1"/>
    </xf>
    <xf numFmtId="0" fontId="5" fillId="8" borderId="7" xfId="0" applyFont="1" applyFill="1" applyBorder="1" applyAlignment="1">
      <alignment horizontal="left" vertical="top"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43" fontId="2" fillId="5" borderId="2" xfId="0" applyNumberFormat="1" applyFont="1" applyFill="1" applyBorder="1" applyAlignment="1">
      <alignment horizontal="center"/>
    </xf>
    <xf numFmtId="43" fontId="2" fillId="5" borderId="3" xfId="0" applyNumberFormat="1" applyFont="1" applyFill="1" applyBorder="1" applyAlignment="1">
      <alignment horizontal="center"/>
    </xf>
    <xf numFmtId="43" fontId="2" fillId="5" borderId="4" xfId="0" applyNumberFormat="1" applyFont="1" applyFill="1" applyBorder="1" applyAlignment="1">
      <alignment horizontal="center"/>
    </xf>
    <xf numFmtId="0" fontId="0" fillId="0" borderId="0" xfId="0"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85556-FE92-4671-817C-7DDBE360A47C}">
  <dimension ref="A3:P15"/>
  <sheetViews>
    <sheetView topLeftCell="B1" zoomScale="90" zoomScaleNormal="90" workbookViewId="0">
      <selection activeCell="O18" sqref="O18"/>
    </sheetView>
  </sheetViews>
  <sheetFormatPr defaultRowHeight="14.5" x14ac:dyDescent="0.35"/>
  <cols>
    <col min="1" max="1" width="15.453125" style="3" bestFit="1" customWidth="1"/>
    <col min="2" max="2" width="8.7265625" style="3"/>
    <col min="3" max="3" width="15.81640625" style="3" bestFit="1" customWidth="1"/>
    <col min="4" max="5" width="12.1796875" style="3" bestFit="1" customWidth="1"/>
    <col min="6" max="6" width="12.1796875" style="3" customWidth="1"/>
    <col min="7" max="7" width="16.54296875" style="3" bestFit="1" customWidth="1"/>
    <col min="8" max="8" width="12.1796875" style="3" bestFit="1" customWidth="1"/>
    <col min="9" max="9" width="12.26953125" style="3" bestFit="1" customWidth="1"/>
    <col min="10" max="10" width="12.1796875" style="3" bestFit="1" customWidth="1"/>
    <col min="11" max="12" width="8.7265625" style="3"/>
    <col min="13" max="14" width="12.90625" style="3" bestFit="1" customWidth="1"/>
    <col min="15" max="15" width="12.26953125" style="3" bestFit="1" customWidth="1"/>
    <col min="16" max="16" width="12.1796875" style="3" bestFit="1" customWidth="1"/>
    <col min="17" max="16384" width="8.7265625" style="3"/>
  </cols>
  <sheetData>
    <row r="3" spans="1:16" x14ac:dyDescent="0.35">
      <c r="A3" s="6" t="s">
        <v>6</v>
      </c>
      <c r="B3" s="56" t="s">
        <v>7</v>
      </c>
      <c r="C3" s="57"/>
      <c r="D3" s="57"/>
      <c r="E3" s="57"/>
      <c r="F3" s="57"/>
      <c r="G3" s="57"/>
      <c r="H3" s="57"/>
      <c r="I3" s="57"/>
      <c r="J3" s="57"/>
      <c r="K3" s="57"/>
      <c r="L3" s="57"/>
      <c r="M3" s="57"/>
      <c r="N3" s="57"/>
      <c r="O3" s="57"/>
      <c r="P3" s="58"/>
    </row>
    <row r="4" spans="1:16" x14ac:dyDescent="0.35">
      <c r="B4" s="59" t="s">
        <v>22</v>
      </c>
      <c r="C4" s="60"/>
      <c r="D4" s="60"/>
      <c r="E4" s="61"/>
      <c r="G4" s="59" t="s">
        <v>23</v>
      </c>
      <c r="H4" s="60"/>
      <c r="I4" s="60"/>
      <c r="J4" s="61"/>
      <c r="L4" s="59" t="s">
        <v>24</v>
      </c>
      <c r="M4" s="60"/>
      <c r="N4" s="60"/>
      <c r="O4" s="60"/>
      <c r="P4" s="61"/>
    </row>
    <row r="5" spans="1:16" x14ac:dyDescent="0.35">
      <c r="A5" s="6" t="s">
        <v>8</v>
      </c>
      <c r="B5" s="6" t="s">
        <v>2</v>
      </c>
      <c r="C5" s="6"/>
      <c r="D5" s="7">
        <v>3375964.8</v>
      </c>
      <c r="E5" s="6"/>
      <c r="F5" s="11"/>
      <c r="G5" s="6" t="s">
        <v>2</v>
      </c>
      <c r="H5" s="6"/>
      <c r="I5" s="6"/>
      <c r="J5" s="7">
        <v>2500000</v>
      </c>
      <c r="K5" s="11"/>
      <c r="L5" s="6" t="s">
        <v>2</v>
      </c>
      <c r="M5" s="6"/>
      <c r="N5" s="7"/>
      <c r="O5" s="7">
        <v>3675964.8</v>
      </c>
    </row>
    <row r="6" spans="1:16" x14ac:dyDescent="0.35">
      <c r="C6" s="4"/>
    </row>
    <row r="7" spans="1:16" x14ac:dyDescent="0.35">
      <c r="A7" s="8" t="s">
        <v>0</v>
      </c>
      <c r="B7" s="8" t="s">
        <v>3</v>
      </c>
      <c r="C7" s="9">
        <v>243658.8</v>
      </c>
      <c r="D7" s="9">
        <f>C7</f>
        <v>243658.8</v>
      </c>
      <c r="E7" s="10">
        <f>D5-C7</f>
        <v>3132306</v>
      </c>
      <c r="F7" s="5"/>
      <c r="G7" s="8" t="s">
        <v>3</v>
      </c>
      <c r="H7" s="9">
        <f>C7</f>
        <v>243658.8</v>
      </c>
      <c r="I7" s="10">
        <f>H7</f>
        <v>243658.8</v>
      </c>
      <c r="J7" s="10">
        <f>J5-I7</f>
        <v>2256341.2000000002</v>
      </c>
      <c r="L7" s="8" t="s">
        <v>3</v>
      </c>
      <c r="M7" s="9">
        <v>243658.8</v>
      </c>
      <c r="N7" s="10">
        <f>M7</f>
        <v>243658.8</v>
      </c>
      <c r="O7" s="10">
        <f>O5-M7</f>
        <v>3432306</v>
      </c>
    </row>
    <row r="8" spans="1:16" x14ac:dyDescent="0.35">
      <c r="A8" s="8"/>
      <c r="B8" s="8" t="s">
        <v>4</v>
      </c>
      <c r="C8" s="9">
        <v>6153</v>
      </c>
      <c r="D8" s="9">
        <f>C8</f>
        <v>6153</v>
      </c>
      <c r="E8" s="10">
        <f>E7-C8</f>
        <v>3126153</v>
      </c>
      <c r="F8" s="5"/>
      <c r="G8" s="8" t="s">
        <v>4</v>
      </c>
      <c r="H8" s="9">
        <f>C8</f>
        <v>6153</v>
      </c>
      <c r="I8" s="10">
        <f>H8</f>
        <v>6153</v>
      </c>
      <c r="J8" s="10">
        <f>J7-I8</f>
        <v>2250188.2000000002</v>
      </c>
      <c r="L8" s="8" t="s">
        <v>4</v>
      </c>
      <c r="M8" s="9">
        <v>6153</v>
      </c>
      <c r="N8" s="10">
        <f>M8</f>
        <v>6153</v>
      </c>
      <c r="O8" s="10">
        <f>O7-M8</f>
        <v>3426153</v>
      </c>
    </row>
    <row r="9" spans="1:16" x14ac:dyDescent="0.35">
      <c r="A9" s="8"/>
      <c r="B9" s="8" t="s">
        <v>5</v>
      </c>
      <c r="C9" s="9">
        <v>6153</v>
      </c>
      <c r="D9" s="9">
        <f>C9</f>
        <v>6153</v>
      </c>
      <c r="E9" s="10">
        <f>E8-C9</f>
        <v>3120000</v>
      </c>
      <c r="F9" s="5"/>
      <c r="G9" s="8" t="s">
        <v>5</v>
      </c>
      <c r="H9" s="9">
        <f>C9</f>
        <v>6153</v>
      </c>
      <c r="I9" s="10">
        <f>H9</f>
        <v>6153</v>
      </c>
      <c r="J9" s="10">
        <f>J8-I9</f>
        <v>2244035.2000000002</v>
      </c>
      <c r="L9" s="8" t="s">
        <v>5</v>
      </c>
      <c r="M9" s="9">
        <v>6153</v>
      </c>
      <c r="N9" s="10">
        <f>M9</f>
        <v>6153</v>
      </c>
      <c r="O9" s="10">
        <f>O8-M9</f>
        <v>3420000</v>
      </c>
    </row>
    <row r="10" spans="1:16" x14ac:dyDescent="0.35">
      <c r="A10" s="8"/>
      <c r="B10" s="8"/>
      <c r="C10" s="8"/>
      <c r="D10" s="8"/>
      <c r="E10" s="8"/>
      <c r="G10" s="8"/>
      <c r="H10" s="8"/>
      <c r="I10" s="8"/>
      <c r="J10" s="8"/>
      <c r="L10" s="8"/>
      <c r="M10" s="8"/>
      <c r="N10" s="8"/>
      <c r="O10" s="8"/>
    </row>
    <row r="11" spans="1:16" x14ac:dyDescent="0.35">
      <c r="A11" s="8" t="s">
        <v>1</v>
      </c>
      <c r="B11" s="8" t="s">
        <v>3</v>
      </c>
      <c r="C11" s="9">
        <v>2970000</v>
      </c>
      <c r="D11" s="9">
        <f>C11</f>
        <v>2970000</v>
      </c>
      <c r="E11" s="10">
        <f>E9-C11</f>
        <v>150000</v>
      </c>
      <c r="F11" s="5"/>
      <c r="G11" s="8" t="s">
        <v>3</v>
      </c>
      <c r="H11" s="9">
        <v>2970000</v>
      </c>
      <c r="I11" s="10">
        <f>J9</f>
        <v>2244035.2000000002</v>
      </c>
      <c r="J11" s="12">
        <f>J9-H11</f>
        <v>-725964.79999999981</v>
      </c>
      <c r="L11" s="8" t="s">
        <v>3</v>
      </c>
      <c r="M11" s="9">
        <v>2970000</v>
      </c>
      <c r="N11" s="10">
        <f>M11</f>
        <v>2970000</v>
      </c>
      <c r="O11" s="10">
        <f>O9-M11</f>
        <v>450000</v>
      </c>
    </row>
    <row r="12" spans="1:16" x14ac:dyDescent="0.35">
      <c r="A12" s="8"/>
      <c r="B12" s="8" t="s">
        <v>4</v>
      </c>
      <c r="C12" s="9">
        <v>75000</v>
      </c>
      <c r="D12" s="9">
        <f>C12</f>
        <v>75000</v>
      </c>
      <c r="E12" s="10">
        <f>E11-C12</f>
        <v>75000</v>
      </c>
      <c r="F12" s="5"/>
      <c r="G12" s="8" t="s">
        <v>4</v>
      </c>
      <c r="H12" s="9">
        <v>75000</v>
      </c>
      <c r="I12" s="9">
        <v>0</v>
      </c>
      <c r="J12" s="12">
        <f>I12-H12</f>
        <v>-75000</v>
      </c>
      <c r="L12" s="8" t="s">
        <v>4</v>
      </c>
      <c r="M12" s="9">
        <v>75000</v>
      </c>
      <c r="N12" s="10">
        <f>M12</f>
        <v>75000</v>
      </c>
      <c r="O12" s="10">
        <f>O11-M12</f>
        <v>375000</v>
      </c>
    </row>
    <row r="13" spans="1:16" x14ac:dyDescent="0.35">
      <c r="A13" s="8"/>
      <c r="B13" s="8" t="s">
        <v>5</v>
      </c>
      <c r="C13" s="9">
        <v>75000</v>
      </c>
      <c r="D13" s="9">
        <f>C13</f>
        <v>75000</v>
      </c>
      <c r="E13" s="9">
        <f>D13-C13</f>
        <v>0</v>
      </c>
      <c r="F13" s="5"/>
      <c r="G13" s="8" t="s">
        <v>5</v>
      </c>
      <c r="H13" s="9">
        <v>75000</v>
      </c>
      <c r="I13" s="9">
        <v>0</v>
      </c>
      <c r="J13" s="12">
        <f>I13-H13</f>
        <v>-75000</v>
      </c>
      <c r="L13" s="8" t="s">
        <v>5</v>
      </c>
      <c r="M13" s="9">
        <v>75000</v>
      </c>
      <c r="N13" s="9">
        <f>M13</f>
        <v>75000</v>
      </c>
      <c r="O13" s="10">
        <f>O12-M13</f>
        <v>300000</v>
      </c>
    </row>
    <row r="14" spans="1:16" x14ac:dyDescent="0.35">
      <c r="J14" s="5"/>
      <c r="N14" s="5"/>
    </row>
    <row r="15" spans="1:16" x14ac:dyDescent="0.35">
      <c r="B15" s="62" t="s">
        <v>9</v>
      </c>
      <c r="C15" s="63"/>
      <c r="D15" s="63"/>
      <c r="E15" s="15">
        <f>D15-C15</f>
        <v>0</v>
      </c>
      <c r="G15" s="62" t="s">
        <v>10</v>
      </c>
      <c r="H15" s="63"/>
      <c r="I15" s="64"/>
      <c r="J15" s="13">
        <f>SUM(J11:J13)</f>
        <v>-875964.79999999981</v>
      </c>
      <c r="L15" s="65" t="s">
        <v>11</v>
      </c>
      <c r="M15" s="66"/>
      <c r="N15" s="67"/>
      <c r="O15" s="14">
        <f>O13</f>
        <v>300000</v>
      </c>
    </row>
  </sheetData>
  <mergeCells count="7">
    <mergeCell ref="B3:P3"/>
    <mergeCell ref="B4:E4"/>
    <mergeCell ref="G4:J4"/>
    <mergeCell ref="L4:P4"/>
    <mergeCell ref="G15:I15"/>
    <mergeCell ref="L15:N15"/>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52E8-E72F-46EB-9A3E-9321166C130B}">
  <dimension ref="A1:F18"/>
  <sheetViews>
    <sheetView topLeftCell="B1" zoomScale="117" workbookViewId="0">
      <selection activeCell="A2" sqref="A2:B2"/>
    </sheetView>
  </sheetViews>
  <sheetFormatPr defaultRowHeight="14.5" x14ac:dyDescent="0.35"/>
  <cols>
    <col min="2" max="2" width="92.6328125" bestFit="1" customWidth="1"/>
    <col min="6" max="6" width="81.7265625" bestFit="1" customWidth="1"/>
  </cols>
  <sheetData>
    <row r="1" spans="1:6" x14ac:dyDescent="0.35">
      <c r="A1" s="1" t="s">
        <v>20</v>
      </c>
      <c r="B1" s="1" t="s">
        <v>31</v>
      </c>
    </row>
    <row r="2" spans="1:6" x14ac:dyDescent="0.35">
      <c r="A2" s="68" t="s">
        <v>21</v>
      </c>
      <c r="B2" s="68"/>
      <c r="E2" s="6" t="s">
        <v>20</v>
      </c>
      <c r="F2" s="6" t="s">
        <v>31</v>
      </c>
    </row>
    <row r="3" spans="1:6" ht="29" x14ac:dyDescent="0.35">
      <c r="A3" s="16">
        <v>1</v>
      </c>
      <c r="B3" s="17" t="s">
        <v>12</v>
      </c>
      <c r="E3" s="16">
        <v>1</v>
      </c>
      <c r="F3" s="18" t="s">
        <v>13</v>
      </c>
    </row>
    <row r="4" spans="1:6" ht="87" x14ac:dyDescent="0.35">
      <c r="A4" s="16">
        <v>2</v>
      </c>
      <c r="B4" s="17" t="s">
        <v>30</v>
      </c>
      <c r="E4" s="16">
        <v>2</v>
      </c>
      <c r="F4" s="17" t="s">
        <v>34</v>
      </c>
    </row>
    <row r="5" spans="1:6" ht="87" x14ac:dyDescent="0.35">
      <c r="A5" s="16">
        <v>3</v>
      </c>
      <c r="B5" s="17" t="s">
        <v>26</v>
      </c>
      <c r="E5" s="16">
        <v>3</v>
      </c>
      <c r="F5" s="17" t="s">
        <v>35</v>
      </c>
    </row>
    <row r="6" spans="1:6" ht="101.5" x14ac:dyDescent="0.35">
      <c r="A6" s="16">
        <v>4</v>
      </c>
      <c r="B6" s="18" t="s">
        <v>13</v>
      </c>
      <c r="E6" s="16">
        <v>4</v>
      </c>
      <c r="F6" s="16" t="s">
        <v>36</v>
      </c>
    </row>
    <row r="7" spans="1:6" ht="29" x14ac:dyDescent="0.35">
      <c r="A7" s="16">
        <v>5</v>
      </c>
      <c r="B7" s="16" t="s">
        <v>14</v>
      </c>
      <c r="E7" s="16">
        <v>5</v>
      </c>
      <c r="F7" s="19" t="s">
        <v>16</v>
      </c>
    </row>
    <row r="8" spans="1:6" ht="41" customHeight="1" x14ac:dyDescent="0.35">
      <c r="A8" s="16">
        <v>6</v>
      </c>
      <c r="B8" s="17" t="s">
        <v>15</v>
      </c>
      <c r="E8" s="16">
        <v>6</v>
      </c>
      <c r="F8" s="16" t="s">
        <v>37</v>
      </c>
    </row>
    <row r="9" spans="1:6" s="2" customFormat="1" ht="29" x14ac:dyDescent="0.35">
      <c r="A9" s="16">
        <v>7</v>
      </c>
      <c r="B9" s="19" t="s">
        <v>16</v>
      </c>
      <c r="E9" s="16">
        <v>7</v>
      </c>
      <c r="F9" s="16" t="s">
        <v>27</v>
      </c>
    </row>
    <row r="10" spans="1:6" ht="29" x14ac:dyDescent="0.35">
      <c r="A10" s="16">
        <v>8</v>
      </c>
      <c r="B10" s="16" t="s">
        <v>17</v>
      </c>
      <c r="E10" s="16">
        <v>8</v>
      </c>
      <c r="F10" s="3" t="s">
        <v>18</v>
      </c>
    </row>
    <row r="11" spans="1:6" ht="29" x14ac:dyDescent="0.35">
      <c r="A11" s="16">
        <v>9</v>
      </c>
      <c r="B11" s="16" t="s">
        <v>27</v>
      </c>
      <c r="E11" s="16">
        <v>9</v>
      </c>
      <c r="F11" s="3" t="s">
        <v>19</v>
      </c>
    </row>
    <row r="12" spans="1:6" ht="58" x14ac:dyDescent="0.35">
      <c r="A12" s="16">
        <v>10</v>
      </c>
      <c r="B12" s="3" t="s">
        <v>18</v>
      </c>
      <c r="E12" s="16">
        <v>10</v>
      </c>
      <c r="F12" s="17" t="s">
        <v>32</v>
      </c>
    </row>
    <row r="13" spans="1:6" s="2" customFormat="1" ht="29" x14ac:dyDescent="0.35">
      <c r="A13" s="16">
        <v>11</v>
      </c>
      <c r="B13" s="17" t="s">
        <v>29</v>
      </c>
      <c r="E13" s="16">
        <v>11</v>
      </c>
      <c r="F13" s="17" t="s">
        <v>33</v>
      </c>
    </row>
    <row r="14" spans="1:6" ht="29" x14ac:dyDescent="0.35">
      <c r="A14" s="16">
        <v>12</v>
      </c>
      <c r="B14" s="3" t="s">
        <v>19</v>
      </c>
      <c r="E14" s="16">
        <v>12</v>
      </c>
      <c r="F14" s="17" t="s">
        <v>25</v>
      </c>
    </row>
    <row r="15" spans="1:6" s="2" customFormat="1" ht="33" customHeight="1" x14ac:dyDescent="0.35">
      <c r="A15" s="16">
        <v>13</v>
      </c>
      <c r="B15" s="17" t="s">
        <v>32</v>
      </c>
      <c r="E15" s="16">
        <v>13</v>
      </c>
      <c r="F15" s="17" t="s">
        <v>28</v>
      </c>
    </row>
    <row r="16" spans="1:6" ht="29" x14ac:dyDescent="0.35">
      <c r="A16" s="16">
        <v>14</v>
      </c>
      <c r="B16" s="17" t="s">
        <v>33</v>
      </c>
    </row>
    <row r="17" spans="1:2" ht="29" x14ac:dyDescent="0.35">
      <c r="A17" s="16">
        <v>15</v>
      </c>
      <c r="B17" s="17" t="s">
        <v>25</v>
      </c>
    </row>
    <row r="18" spans="1:2" x14ac:dyDescent="0.35">
      <c r="A18" s="16">
        <v>16</v>
      </c>
      <c r="B18" s="17" t="s">
        <v>28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3FB1F-B227-4ABC-A10F-4DD913B0E48F}">
  <dimension ref="B1:E39"/>
  <sheetViews>
    <sheetView tabSelected="1" workbookViewId="0">
      <selection activeCell="C4" sqref="B2:E39"/>
    </sheetView>
  </sheetViews>
  <sheetFormatPr defaultRowHeight="14.5" x14ac:dyDescent="0.35"/>
  <cols>
    <col min="3" max="3" width="68.7265625" customWidth="1"/>
    <col min="4" max="4" width="35.81640625" customWidth="1"/>
    <col min="5" max="5" width="41.81640625" customWidth="1"/>
  </cols>
  <sheetData>
    <row r="1" spans="2:5" ht="15" thickBot="1" x14ac:dyDescent="0.4"/>
    <row r="2" spans="2:5" ht="32.5" thickBot="1" x14ac:dyDescent="0.4">
      <c r="B2" s="20" t="s">
        <v>20</v>
      </c>
      <c r="C2" s="21" t="s">
        <v>31</v>
      </c>
      <c r="D2" s="21" t="s">
        <v>38</v>
      </c>
      <c r="E2" s="21" t="s">
        <v>100</v>
      </c>
    </row>
    <row r="3" spans="2:5" ht="32.5" thickBot="1" x14ac:dyDescent="0.4">
      <c r="B3" s="22">
        <v>1</v>
      </c>
      <c r="C3" s="23" t="s">
        <v>39</v>
      </c>
      <c r="D3" s="24" t="s">
        <v>40</v>
      </c>
      <c r="E3" s="24" t="s">
        <v>69</v>
      </c>
    </row>
    <row r="4" spans="2:5" ht="80" x14ac:dyDescent="0.35">
      <c r="B4" s="42">
        <v>2</v>
      </c>
      <c r="C4" s="26" t="s">
        <v>41</v>
      </c>
      <c r="D4" s="27" t="s">
        <v>42</v>
      </c>
      <c r="E4" s="50" t="s">
        <v>94</v>
      </c>
    </row>
    <row r="5" spans="2:5" x14ac:dyDescent="0.35">
      <c r="B5" s="43"/>
      <c r="C5" s="28"/>
      <c r="D5" s="29"/>
      <c r="E5" s="51"/>
    </row>
    <row r="6" spans="2:5" ht="64.5" thickBot="1" x14ac:dyDescent="0.4">
      <c r="B6" s="44"/>
      <c r="C6" s="23" t="s">
        <v>43</v>
      </c>
      <c r="D6" s="24" t="s">
        <v>44</v>
      </c>
      <c r="E6" s="52"/>
    </row>
    <row r="7" spans="2:5" ht="32" x14ac:dyDescent="0.35">
      <c r="B7" s="45">
        <v>3</v>
      </c>
      <c r="C7" s="26" t="s">
        <v>45</v>
      </c>
      <c r="D7" s="27" t="s">
        <v>46</v>
      </c>
      <c r="E7" s="53" t="s">
        <v>95</v>
      </c>
    </row>
    <row r="8" spans="2:5" x14ac:dyDescent="0.35">
      <c r="B8" s="43"/>
      <c r="C8" s="28"/>
      <c r="D8" s="29"/>
      <c r="E8" s="54"/>
    </row>
    <row r="9" spans="2:5" ht="64.5" thickBot="1" x14ac:dyDescent="0.4">
      <c r="B9" s="44"/>
      <c r="C9" s="23" t="s">
        <v>47</v>
      </c>
      <c r="D9" s="24" t="s">
        <v>48</v>
      </c>
      <c r="E9" s="55"/>
    </row>
    <row r="10" spans="2:5" ht="32" x14ac:dyDescent="0.35">
      <c r="B10" s="45">
        <v>4</v>
      </c>
      <c r="C10" s="26" t="s">
        <v>49</v>
      </c>
      <c r="D10" s="50" t="s">
        <v>51</v>
      </c>
      <c r="E10" s="50" t="s">
        <v>96</v>
      </c>
    </row>
    <row r="11" spans="2:5" x14ac:dyDescent="0.35">
      <c r="B11" s="43"/>
      <c r="C11" s="28"/>
      <c r="D11" s="51"/>
      <c r="E11" s="51"/>
    </row>
    <row r="12" spans="2:5" ht="80.5" thickBot="1" x14ac:dyDescent="0.4">
      <c r="B12" s="44"/>
      <c r="C12" s="23" t="s">
        <v>50</v>
      </c>
      <c r="D12" s="52"/>
      <c r="E12" s="52"/>
    </row>
    <row r="13" spans="2:5" ht="80.5" thickBot="1" x14ac:dyDescent="0.4">
      <c r="B13" s="22">
        <v>5</v>
      </c>
      <c r="C13" s="24" t="s">
        <v>52</v>
      </c>
      <c r="D13" s="24" t="s">
        <v>53</v>
      </c>
      <c r="E13" s="24" t="s">
        <v>70</v>
      </c>
    </row>
    <row r="14" spans="2:5" ht="48.5" thickBot="1" x14ac:dyDescent="0.4">
      <c r="B14" s="22">
        <v>6</v>
      </c>
      <c r="C14" s="23" t="s">
        <v>54</v>
      </c>
      <c r="D14" s="24" t="s">
        <v>55</v>
      </c>
      <c r="E14" s="24" t="s">
        <v>69</v>
      </c>
    </row>
    <row r="15" spans="2:5" ht="64.5" thickBot="1" x14ac:dyDescent="0.4">
      <c r="B15" s="22">
        <v>7</v>
      </c>
      <c r="C15" s="23" t="s">
        <v>56</v>
      </c>
      <c r="D15" s="24" t="s">
        <v>57</v>
      </c>
      <c r="E15" s="24" t="s">
        <v>71</v>
      </c>
    </row>
    <row r="16" spans="2:5" ht="32.5" thickBot="1" x14ac:dyDescent="0.4">
      <c r="B16" s="22">
        <v>8</v>
      </c>
      <c r="C16" s="23" t="s">
        <v>58</v>
      </c>
      <c r="D16" s="24" t="s">
        <v>59</v>
      </c>
      <c r="E16" s="24" t="s">
        <v>72</v>
      </c>
    </row>
    <row r="17" spans="2:5" ht="16" x14ac:dyDescent="0.35">
      <c r="B17" s="42">
        <v>9</v>
      </c>
      <c r="C17" s="47" t="s">
        <v>60</v>
      </c>
      <c r="D17" s="27" t="s">
        <v>61</v>
      </c>
      <c r="E17" s="50" t="s">
        <v>97</v>
      </c>
    </row>
    <row r="18" spans="2:5" ht="48" x14ac:dyDescent="0.35">
      <c r="B18" s="43"/>
      <c r="C18" s="48"/>
      <c r="D18" s="27" t="s">
        <v>62</v>
      </c>
      <c r="E18" s="51"/>
    </row>
    <row r="19" spans="2:5" ht="32" x14ac:dyDescent="0.35">
      <c r="B19" s="43"/>
      <c r="C19" s="48"/>
      <c r="D19" s="27" t="s">
        <v>63</v>
      </c>
      <c r="E19" s="51"/>
    </row>
    <row r="20" spans="2:5" ht="56.5" customHeight="1" thickBot="1" x14ac:dyDescent="0.4">
      <c r="B20" s="46"/>
      <c r="C20" s="49"/>
      <c r="D20" s="24" t="s">
        <v>64</v>
      </c>
      <c r="E20" s="52"/>
    </row>
    <row r="21" spans="2:5" ht="96.5" thickBot="1" x14ac:dyDescent="0.4">
      <c r="B21" s="22">
        <v>10</v>
      </c>
      <c r="C21" s="23" t="s">
        <v>65</v>
      </c>
      <c r="D21" s="24" t="s">
        <v>66</v>
      </c>
      <c r="E21" s="24" t="s">
        <v>73</v>
      </c>
    </row>
    <row r="22" spans="2:5" ht="192.5" thickBot="1" x14ac:dyDescent="0.4">
      <c r="B22" s="22">
        <v>11</v>
      </c>
      <c r="C22" s="23" t="s">
        <v>67</v>
      </c>
      <c r="D22" s="24" t="s">
        <v>68</v>
      </c>
      <c r="E22" s="24" t="s">
        <v>98</v>
      </c>
    </row>
    <row r="23" spans="2:5" ht="48.5" thickBot="1" x14ac:dyDescent="0.4">
      <c r="B23" s="22">
        <v>12</v>
      </c>
      <c r="C23" s="23" t="s">
        <v>25</v>
      </c>
      <c r="D23" s="24" t="s">
        <v>66</v>
      </c>
      <c r="E23" s="24" t="s">
        <v>74</v>
      </c>
    </row>
    <row r="24" spans="2:5" ht="48.5" thickBot="1" x14ac:dyDescent="0.4">
      <c r="B24" s="22">
        <v>13</v>
      </c>
      <c r="C24" s="23" t="s">
        <v>28</v>
      </c>
      <c r="D24" s="24" t="s">
        <v>93</v>
      </c>
      <c r="E24" s="24" t="s">
        <v>75</v>
      </c>
    </row>
    <row r="25" spans="2:5" ht="112.5" thickBot="1" x14ac:dyDescent="0.4">
      <c r="B25" s="25">
        <v>14</v>
      </c>
      <c r="C25" s="23" t="s">
        <v>91</v>
      </c>
      <c r="D25" s="27"/>
      <c r="E25" s="27" t="s">
        <v>76</v>
      </c>
    </row>
    <row r="26" spans="2:5" ht="62" x14ac:dyDescent="0.35">
      <c r="B26" s="36">
        <v>15</v>
      </c>
      <c r="C26" s="34" t="s">
        <v>92</v>
      </c>
      <c r="D26" s="38"/>
      <c r="E26" s="40" t="s">
        <v>69</v>
      </c>
    </row>
    <row r="27" spans="2:5" x14ac:dyDescent="0.35">
      <c r="B27" s="37"/>
      <c r="C27" s="31" t="s">
        <v>77</v>
      </c>
      <c r="D27" s="39"/>
      <c r="E27" s="41"/>
    </row>
    <row r="28" spans="2:5" x14ac:dyDescent="0.35">
      <c r="B28" s="37"/>
      <c r="C28" s="31" t="s">
        <v>78</v>
      </c>
      <c r="D28" s="39"/>
      <c r="E28" s="41"/>
    </row>
    <row r="29" spans="2:5" x14ac:dyDescent="0.35">
      <c r="B29" s="37"/>
      <c r="C29" s="31" t="s">
        <v>79</v>
      </c>
      <c r="D29" s="39"/>
      <c r="E29" s="41"/>
    </row>
    <row r="30" spans="2:5" x14ac:dyDescent="0.35">
      <c r="B30" s="37"/>
      <c r="C30" s="31" t="s">
        <v>80</v>
      </c>
      <c r="D30" s="39"/>
      <c r="E30" s="41"/>
    </row>
    <row r="31" spans="2:5" x14ac:dyDescent="0.35">
      <c r="B31" s="37"/>
      <c r="C31" s="31" t="s">
        <v>81</v>
      </c>
      <c r="D31" s="39"/>
      <c r="E31" s="41"/>
    </row>
    <row r="32" spans="2:5" x14ac:dyDescent="0.35">
      <c r="B32" s="37"/>
      <c r="C32" s="31" t="s">
        <v>82</v>
      </c>
      <c r="D32" s="39"/>
      <c r="E32" s="41"/>
    </row>
    <row r="33" spans="2:5" x14ac:dyDescent="0.35">
      <c r="B33" s="37"/>
      <c r="C33" s="31" t="s">
        <v>83</v>
      </c>
      <c r="D33" s="39"/>
      <c r="E33" s="41"/>
    </row>
    <row r="34" spans="2:5" x14ac:dyDescent="0.35">
      <c r="B34" s="37"/>
      <c r="C34" s="31" t="s">
        <v>84</v>
      </c>
      <c r="D34" s="39"/>
      <c r="E34" s="41"/>
    </row>
    <row r="35" spans="2:5" x14ac:dyDescent="0.35">
      <c r="B35" s="37"/>
      <c r="C35" s="31" t="s">
        <v>85</v>
      </c>
      <c r="D35" s="39"/>
      <c r="E35" s="41"/>
    </row>
    <row r="36" spans="2:5" x14ac:dyDescent="0.35">
      <c r="B36" s="37"/>
      <c r="C36" s="31" t="s">
        <v>86</v>
      </c>
      <c r="D36" s="39"/>
      <c r="E36" s="41"/>
    </row>
    <row r="37" spans="2:5" ht="15" thickBot="1" x14ac:dyDescent="0.4">
      <c r="B37" s="37"/>
      <c r="C37" s="31" t="s">
        <v>87</v>
      </c>
      <c r="D37" s="39"/>
      <c r="E37" s="41"/>
    </row>
    <row r="38" spans="2:5" ht="64.5" thickBot="1" x14ac:dyDescent="0.4">
      <c r="B38" s="32">
        <v>16</v>
      </c>
      <c r="C38" s="33" t="s">
        <v>88</v>
      </c>
      <c r="D38" s="35"/>
      <c r="E38" s="35" t="s">
        <v>89</v>
      </c>
    </row>
    <row r="39" spans="2:5" ht="64.5" thickBot="1" x14ac:dyDescent="0.4">
      <c r="B39" s="22">
        <v>17</v>
      </c>
      <c r="C39" s="30" t="s">
        <v>90</v>
      </c>
      <c r="D39" s="24"/>
      <c r="E39" s="24" t="s">
        <v>99</v>
      </c>
    </row>
  </sheetData>
  <mergeCells count="13">
    <mergeCell ref="B26:B37"/>
    <mergeCell ref="D26:D37"/>
    <mergeCell ref="E26:E37"/>
    <mergeCell ref="B4:B6"/>
    <mergeCell ref="B7:B9"/>
    <mergeCell ref="B10:B12"/>
    <mergeCell ref="B17:B20"/>
    <mergeCell ref="C17:C20"/>
    <mergeCell ref="E4:E6"/>
    <mergeCell ref="E7:E9"/>
    <mergeCell ref="E10:E12"/>
    <mergeCell ref="E17:E20"/>
    <mergeCell ref="D10:D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vt:lpstr>
      <vt:lpstr>Points 30.01.2026</vt:lpstr>
      <vt:lpstr>Point 04.02.2026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NAGDA Bharat/CONSULTANT/H.O.</dc:creator>
  <cp:lastModifiedBy>NAGDA Bharat/CONSULTANT/H.O.</cp:lastModifiedBy>
  <dcterms:created xsi:type="dcterms:W3CDTF">2026-01-28T12:47:02Z</dcterms:created>
  <dcterms:modified xsi:type="dcterms:W3CDTF">2026-02-05T08:01:06Z</dcterms:modified>
</cp:coreProperties>
</file>